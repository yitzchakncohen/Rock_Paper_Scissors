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Unity Projects\Rock_Paper_Scissors_Repo\Documentation\"/>
    </mc:Choice>
  </mc:AlternateContent>
  <xr:revisionPtr revIDLastSave="0" documentId="13_ncr:1_{33FBE56A-8BED-4EB7-BE8C-01C48F218D1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Game Progression" sheetId="1" r:id="rId1"/>
    <sheet name="Unit Prog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2" i="1" l="1"/>
  <c r="N23" i="1"/>
  <c r="N24" i="1"/>
  <c r="N25" i="1"/>
  <c r="J22" i="1"/>
  <c r="J23" i="1"/>
  <c r="J24" i="1"/>
  <c r="J25" i="1"/>
  <c r="F22" i="1"/>
  <c r="F23" i="1" s="1"/>
  <c r="F24" i="1" s="1"/>
  <c r="F25" i="1" s="1"/>
  <c r="E22" i="1"/>
  <c r="E23" i="1" s="1"/>
  <c r="E24" i="1" s="1"/>
  <c r="E25" i="1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" i="1"/>
  <c r="O2" i="1" s="1"/>
  <c r="F3" i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E3" i="1"/>
  <c r="E4" i="1" s="1"/>
  <c r="F2" i="1"/>
  <c r="K2" i="1"/>
  <c r="K3" i="1" s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P2" i="1"/>
  <c r="P3" i="1" s="1"/>
  <c r="P4" i="1" s="1"/>
  <c r="P5" i="1" s="1"/>
  <c r="P6" i="1" s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F17" i="1" l="1"/>
  <c r="F18" i="1" s="1"/>
  <c r="F19" i="1" s="1"/>
  <c r="F20" i="1" s="1"/>
  <c r="F21" i="1" s="1"/>
  <c r="E5" i="1"/>
  <c r="N4" i="1"/>
  <c r="N3" i="1"/>
  <c r="O3" i="1" s="1"/>
  <c r="E6" i="1" l="1"/>
  <c r="N5" i="1"/>
  <c r="O4" i="1"/>
  <c r="E7" i="1" l="1"/>
  <c r="N6" i="1"/>
  <c r="O5" i="1"/>
  <c r="E8" i="1" l="1"/>
  <c r="N7" i="1"/>
  <c r="O6" i="1"/>
  <c r="E9" i="1" l="1"/>
  <c r="N8" i="1"/>
  <c r="O7" i="1"/>
  <c r="E10" i="1" l="1"/>
  <c r="N9" i="1"/>
  <c r="O8" i="1"/>
  <c r="E11" i="1" l="1"/>
  <c r="N10" i="1"/>
  <c r="O9" i="1"/>
  <c r="E12" i="1" l="1"/>
  <c r="N11" i="1"/>
  <c r="O10" i="1"/>
  <c r="E13" i="1" l="1"/>
  <c r="N12" i="1"/>
  <c r="O11" i="1"/>
  <c r="E14" i="1" l="1"/>
  <c r="N13" i="1"/>
  <c r="O12" i="1"/>
  <c r="E15" i="1" l="1"/>
  <c r="N14" i="1"/>
  <c r="O13" i="1"/>
  <c r="E16" i="1" l="1"/>
  <c r="N15" i="1"/>
  <c r="O14" i="1"/>
  <c r="E17" i="1" l="1"/>
  <c r="N16" i="1"/>
  <c r="O15" i="1"/>
  <c r="E18" i="1" l="1"/>
  <c r="N17" i="1"/>
  <c r="O16" i="1"/>
  <c r="E19" i="1" l="1"/>
  <c r="N18" i="1"/>
  <c r="O17" i="1"/>
  <c r="E20" i="1" l="1"/>
  <c r="N19" i="1"/>
  <c r="O18" i="1"/>
  <c r="E21" i="1" l="1"/>
  <c r="N21" i="1" s="1"/>
  <c r="N20" i="1"/>
  <c r="O19" i="1"/>
  <c r="O20" i="1" l="1"/>
  <c r="O21" i="1" l="1"/>
  <c r="O22" i="1" s="1"/>
  <c r="O23" i="1" s="1"/>
  <c r="O24" i="1" s="1"/>
  <c r="O25" i="1" s="1"/>
</calcChain>
</file>

<file path=xl/sharedStrings.xml><?xml version="1.0" encoding="utf-8"?>
<sst xmlns="http://schemas.openxmlformats.org/spreadsheetml/2006/main" count="26" uniqueCount="26">
  <si>
    <t>Turn</t>
  </si>
  <si>
    <t>Pillow Forts</t>
  </si>
  <si>
    <t>Units</t>
  </si>
  <si>
    <t>Traps</t>
  </si>
  <si>
    <t>Bonus Currency</t>
  </si>
  <si>
    <t>Currency Gained</t>
  </si>
  <si>
    <t>Avg Unit Price</t>
  </si>
  <si>
    <t>Outpost Price</t>
  </si>
  <si>
    <t>Avg Trap Price</t>
  </si>
  <si>
    <t>Outpost Upgrade Price</t>
  </si>
  <si>
    <t>Outpost Upgrade</t>
  </si>
  <si>
    <t>Currency Total (End of Turn)</t>
  </si>
  <si>
    <t xml:space="preserve">Total Enemies </t>
  </si>
  <si>
    <t>Amount per Enemy Defeated</t>
  </si>
  <si>
    <t>Enemies Killed</t>
  </si>
  <si>
    <t>Enemies Spawned</t>
  </si>
  <si>
    <t>Units Purchased</t>
  </si>
  <si>
    <t>Currency Spent</t>
  </si>
  <si>
    <t>Units Lost</t>
  </si>
  <si>
    <t>Outposts Purchased</t>
  </si>
  <si>
    <t>Outposts Lost</t>
  </si>
  <si>
    <t>Amount Per Fort</t>
  </si>
  <si>
    <t>Amount Per Outpost Level 1</t>
  </si>
  <si>
    <t>Pillow Outposts Level 1</t>
  </si>
  <si>
    <t>Pillow Outposts Level 2</t>
  </si>
  <si>
    <t>Amount Per Outpost Level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</si>
</sst>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0" xfId="0" applyFill="1" applyBorder="1"/>
    <xf numFmtId="0" fontId="0" fillId="0" borderId="1" xfId="0" applyFill="1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'Game Progression'!$K$1</c:f>
              <c:strCache>
                <c:ptCount val="1"/>
                <c:pt idx="0">
                  <c:v>Units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'Game Progression'!$K$2:$K$25</c:f>
              <c:numCache>
                <c:formatCode>General</c:formatCode>
                <c:ptCount val="24"/>
                <c:pt idx="0">
                  <c:v>2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5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5</c:v>
                </c:pt>
                <c:pt idx="11">
                  <c:v>4</c:v>
                </c:pt>
                <c:pt idx="12">
                  <c:v>6</c:v>
                </c:pt>
                <c:pt idx="13">
                  <c:v>8</c:v>
                </c:pt>
                <c:pt idx="14">
                  <c:v>9</c:v>
                </c:pt>
                <c:pt idx="15">
                  <c:v>8</c:v>
                </c:pt>
                <c:pt idx="16">
                  <c:v>10</c:v>
                </c:pt>
                <c:pt idx="17">
                  <c:v>12</c:v>
                </c:pt>
                <c:pt idx="18">
                  <c:v>13</c:v>
                </c:pt>
                <c:pt idx="19">
                  <c:v>12</c:v>
                </c:pt>
                <c:pt idx="20">
                  <c:v>14</c:v>
                </c:pt>
                <c:pt idx="21">
                  <c:v>16</c:v>
                </c:pt>
                <c:pt idx="22">
                  <c:v>17</c:v>
                </c:pt>
                <c:pt idx="23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1E-4FAC-8C44-93377FD8C8FC}"/>
            </c:ext>
          </c:extLst>
        </c:ser>
        <c:ser>
          <c:idx val="1"/>
          <c:order val="1"/>
          <c:tx>
            <c:strRef>
              <c:f>'Game Progression'!$P$1</c:f>
              <c:strCache>
                <c:ptCount val="1"/>
                <c:pt idx="0">
                  <c:v>Total Enemies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'Game Progression'!$P$2:$P$25</c:f>
              <c:numCache>
                <c:formatCode>General</c:formatCode>
                <c:ptCount val="24"/>
                <c:pt idx="0">
                  <c:v>4</c:v>
                </c:pt>
                <c:pt idx="1">
                  <c:v>4</c:v>
                </c:pt>
                <c:pt idx="2">
                  <c:v>2</c:v>
                </c:pt>
                <c:pt idx="3">
                  <c:v>0</c:v>
                </c:pt>
                <c:pt idx="4">
                  <c:v>6</c:v>
                </c:pt>
                <c:pt idx="5">
                  <c:v>4</c:v>
                </c:pt>
                <c:pt idx="6">
                  <c:v>2</c:v>
                </c:pt>
                <c:pt idx="7">
                  <c:v>0</c:v>
                </c:pt>
                <c:pt idx="8">
                  <c:v>10</c:v>
                </c:pt>
                <c:pt idx="9">
                  <c:v>8</c:v>
                </c:pt>
                <c:pt idx="10">
                  <c:v>5</c:v>
                </c:pt>
                <c:pt idx="11">
                  <c:v>2</c:v>
                </c:pt>
                <c:pt idx="12">
                  <c:v>12</c:v>
                </c:pt>
                <c:pt idx="13">
                  <c:v>10</c:v>
                </c:pt>
                <c:pt idx="14">
                  <c:v>8</c:v>
                </c:pt>
                <c:pt idx="15">
                  <c:v>6</c:v>
                </c:pt>
                <c:pt idx="16">
                  <c:v>20</c:v>
                </c:pt>
                <c:pt idx="17">
                  <c:v>16</c:v>
                </c:pt>
                <c:pt idx="18">
                  <c:v>12</c:v>
                </c:pt>
                <c:pt idx="19">
                  <c:v>8</c:v>
                </c:pt>
                <c:pt idx="20">
                  <c:v>26</c:v>
                </c:pt>
                <c:pt idx="21">
                  <c:v>22</c:v>
                </c:pt>
                <c:pt idx="22">
                  <c:v>18</c:v>
                </c:pt>
                <c:pt idx="23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1E-4FAC-8C44-93377FD8C8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2153599"/>
        <c:axId val="712151199"/>
      </c:lineChart>
      <c:catAx>
        <c:axId val="7121535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151199"/>
        <c:crosses val="autoZero"/>
        <c:auto val="1"/>
        <c:lblAlgn val="ctr"/>
        <c:lblOffset val="100"/>
        <c:noMultiLvlLbl val="0"/>
      </c:catAx>
      <c:valAx>
        <c:axId val="712151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153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561975</xdr:colOff>
      <xdr:row>28</xdr:row>
      <xdr:rowOff>23812</xdr:rowOff>
    </xdr:from>
    <xdr:to>
      <xdr:col>13</xdr:col>
      <xdr:colOff>771525</xdr:colOff>
      <xdr:row>42</xdr:row>
      <xdr:rowOff>100012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C73171-010F-0231-D543-FD72692552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5"/>
  <sheetViews>
    <sheetView tabSelected="1" topLeftCell="A4" workbookViewId="0">
      <selection activeCell="G32" sqref="G32"/>
    </sheetView>
  </sheetViews>
  <sheetFormatPr defaultRowHeight="15" x14ac:dyDescent="0.25"/>
  <cols>
    <col min="1" max="1" width="14.5703125" customWidth="1"/>
    <col min="2" max="2" width="12" customWidth="1"/>
    <col min="3" max="3" width="18.42578125" customWidth="1"/>
    <col min="4" max="4" width="13.5703125" customWidth="1"/>
    <col min="5" max="5" width="22.5703125" customWidth="1"/>
    <col min="6" max="6" width="24.5703125" customWidth="1"/>
    <col min="7" max="10" width="15.7109375" customWidth="1"/>
    <col min="13" max="14" width="15.7109375" customWidth="1"/>
    <col min="15" max="15" width="26" customWidth="1"/>
    <col min="16" max="16" width="13.7109375" customWidth="1"/>
    <col min="17" max="17" width="13.5703125" customWidth="1"/>
    <col min="18" max="18" width="20.28515625" customWidth="1"/>
    <col min="19" max="19" width="15.140625" customWidth="1"/>
    <col min="20" max="20" width="15.42578125" customWidth="1"/>
    <col min="21" max="21" width="14.5703125" customWidth="1"/>
    <col min="22" max="22" width="21.5703125" customWidth="1"/>
    <col min="23" max="23" width="14.7109375" customWidth="1"/>
    <col min="24" max="24" width="13.7109375" customWidth="1"/>
    <col min="25" max="25" width="16.28515625" customWidth="1"/>
    <col min="26" max="26" width="20.85546875" customWidth="1"/>
  </cols>
  <sheetData>
    <row r="1" spans="1:27" x14ac:dyDescent="0.25">
      <c r="A1" t="s">
        <v>0</v>
      </c>
      <c r="B1" t="s">
        <v>1</v>
      </c>
      <c r="C1" t="s">
        <v>19</v>
      </c>
      <c r="D1" t="s">
        <v>20</v>
      </c>
      <c r="E1" t="s">
        <v>23</v>
      </c>
      <c r="F1" t="s">
        <v>24</v>
      </c>
      <c r="G1" t="s">
        <v>10</v>
      </c>
      <c r="H1" t="s">
        <v>16</v>
      </c>
      <c r="I1" t="s">
        <v>18</v>
      </c>
      <c r="J1" t="s">
        <v>17</v>
      </c>
      <c r="K1" t="s">
        <v>2</v>
      </c>
      <c r="L1" t="s">
        <v>3</v>
      </c>
      <c r="M1" t="s">
        <v>4</v>
      </c>
      <c r="N1" t="s">
        <v>5</v>
      </c>
      <c r="O1" t="s">
        <v>11</v>
      </c>
      <c r="P1" t="s">
        <v>12</v>
      </c>
      <c r="Q1" t="s">
        <v>14</v>
      </c>
      <c r="R1" t="s">
        <v>15</v>
      </c>
      <c r="T1" t="s">
        <v>6</v>
      </c>
      <c r="U1" t="s">
        <v>7</v>
      </c>
      <c r="V1" t="s">
        <v>9</v>
      </c>
      <c r="W1" t="s">
        <v>8</v>
      </c>
      <c r="X1" t="s">
        <v>13</v>
      </c>
      <c r="Y1" t="s">
        <v>21</v>
      </c>
      <c r="Z1" t="s">
        <v>22</v>
      </c>
      <c r="AA1" t="s">
        <v>25</v>
      </c>
    </row>
    <row r="2" spans="1:27" x14ac:dyDescent="0.25">
      <c r="A2">
        <v>1</v>
      </c>
      <c r="B2">
        <v>1</v>
      </c>
      <c r="C2">
        <v>0</v>
      </c>
      <c r="D2">
        <v>0</v>
      </c>
      <c r="E2">
        <v>1</v>
      </c>
      <c r="F2">
        <f>G2</f>
        <v>0</v>
      </c>
      <c r="G2">
        <v>0</v>
      </c>
      <c r="H2">
        <v>2</v>
      </c>
      <c r="I2">
        <v>0</v>
      </c>
      <c r="J2">
        <f>H2*$T$2+G2*$V$2+C2*$U$2+L2*$W$2</f>
        <v>100</v>
      </c>
      <c r="K2">
        <f>H2-I2</f>
        <v>2</v>
      </c>
      <c r="L2">
        <v>0</v>
      </c>
      <c r="M2">
        <v>200</v>
      </c>
      <c r="N2">
        <v>0</v>
      </c>
      <c r="O2">
        <f>M2+N2-J2</f>
        <v>100</v>
      </c>
      <c r="P2">
        <f>R2-Q2</f>
        <v>4</v>
      </c>
      <c r="Q2">
        <v>0</v>
      </c>
      <c r="R2">
        <v>4</v>
      </c>
      <c r="T2">
        <v>50</v>
      </c>
      <c r="U2">
        <v>100</v>
      </c>
      <c r="V2">
        <v>100</v>
      </c>
      <c r="W2">
        <v>20</v>
      </c>
      <c r="X2">
        <v>10</v>
      </c>
      <c r="Y2">
        <v>30</v>
      </c>
      <c r="Z2">
        <v>10</v>
      </c>
      <c r="AA2">
        <v>20</v>
      </c>
    </row>
    <row r="3" spans="1:27" x14ac:dyDescent="0.25">
      <c r="A3">
        <v>2</v>
      </c>
      <c r="B3">
        <v>1</v>
      </c>
      <c r="C3">
        <v>0</v>
      </c>
      <c r="D3">
        <v>0</v>
      </c>
      <c r="E3">
        <f>C3+E2-G3</f>
        <v>1</v>
      </c>
      <c r="F3">
        <f>F2+G3-D3</f>
        <v>0</v>
      </c>
      <c r="G3">
        <v>0</v>
      </c>
      <c r="H3">
        <v>2</v>
      </c>
      <c r="I3">
        <v>0</v>
      </c>
      <c r="J3">
        <f t="shared" ref="J3:J25" si="0">H3*$T$2+G3*$V$2+C3*$U$2+L3*$W$2</f>
        <v>100</v>
      </c>
      <c r="K3">
        <f>K2-I3+H3</f>
        <v>4</v>
      </c>
      <c r="L3">
        <v>0</v>
      </c>
      <c r="M3">
        <v>0</v>
      </c>
      <c r="N3">
        <f>B3*$Y$2+E3*$Z$2+Q3*$X$2+F3*$AA$2</f>
        <v>40</v>
      </c>
      <c r="O3">
        <f>O2+M3+N3-J3</f>
        <v>40</v>
      </c>
      <c r="P3">
        <f>P2+R3-Q3</f>
        <v>4</v>
      </c>
      <c r="Q3">
        <v>0</v>
      </c>
    </row>
    <row r="4" spans="1:27" x14ac:dyDescent="0.25">
      <c r="A4">
        <v>3</v>
      </c>
      <c r="B4">
        <v>1</v>
      </c>
      <c r="C4">
        <v>0</v>
      </c>
      <c r="D4">
        <v>0</v>
      </c>
      <c r="E4">
        <f t="shared" ref="E4:E25" si="1">C4+E3-G4</f>
        <v>1</v>
      </c>
      <c r="F4">
        <f t="shared" ref="F4:F25" si="2">F3+G4-D4</f>
        <v>0</v>
      </c>
      <c r="G4">
        <v>0</v>
      </c>
      <c r="H4">
        <v>0</v>
      </c>
      <c r="I4">
        <v>0</v>
      </c>
      <c r="J4">
        <f t="shared" si="0"/>
        <v>0</v>
      </c>
      <c r="K4">
        <f t="shared" ref="K4:K25" si="3">K3-I4+H4</f>
        <v>4</v>
      </c>
      <c r="L4">
        <v>0</v>
      </c>
      <c r="M4">
        <v>0</v>
      </c>
      <c r="N4">
        <f t="shared" ref="N4:N25" si="4">B4*$Y$2+E4*$Z$2+Q4*$X$2+F4*$AA$2</f>
        <v>60</v>
      </c>
      <c r="O4">
        <f t="shared" ref="O4:O25" si="5">O3+M4+N4-J4</f>
        <v>100</v>
      </c>
      <c r="P4">
        <f t="shared" ref="P4:P25" si="6">P3+R4-Q4</f>
        <v>2</v>
      </c>
      <c r="Q4">
        <v>2</v>
      </c>
    </row>
    <row r="5" spans="1:27" s="1" customFormat="1" x14ac:dyDescent="0.25">
      <c r="A5" s="1">
        <v>4</v>
      </c>
      <c r="B5" s="1">
        <v>1</v>
      </c>
      <c r="C5" s="1">
        <v>1</v>
      </c>
      <c r="D5" s="1">
        <v>0</v>
      </c>
      <c r="E5" s="1">
        <f t="shared" si="1"/>
        <v>2</v>
      </c>
      <c r="F5" s="1">
        <f t="shared" si="2"/>
        <v>0</v>
      </c>
      <c r="G5" s="1">
        <v>0</v>
      </c>
      <c r="H5" s="1">
        <v>0</v>
      </c>
      <c r="I5" s="1">
        <v>0</v>
      </c>
      <c r="J5" s="1">
        <f t="shared" si="0"/>
        <v>100</v>
      </c>
      <c r="K5" s="1">
        <f t="shared" si="3"/>
        <v>4</v>
      </c>
      <c r="L5" s="1">
        <v>0</v>
      </c>
      <c r="M5" s="1">
        <v>0</v>
      </c>
      <c r="N5" s="1">
        <f t="shared" si="4"/>
        <v>70</v>
      </c>
      <c r="O5" s="1">
        <f t="shared" si="5"/>
        <v>70</v>
      </c>
      <c r="P5" s="1">
        <f t="shared" si="6"/>
        <v>0</v>
      </c>
      <c r="Q5" s="1">
        <v>2</v>
      </c>
    </row>
    <row r="6" spans="1:27" x14ac:dyDescent="0.25">
      <c r="A6">
        <v>5</v>
      </c>
      <c r="B6">
        <v>1</v>
      </c>
      <c r="C6">
        <v>0</v>
      </c>
      <c r="D6">
        <v>0</v>
      </c>
      <c r="E6">
        <f t="shared" si="1"/>
        <v>2</v>
      </c>
      <c r="F6">
        <f t="shared" si="2"/>
        <v>0</v>
      </c>
      <c r="G6">
        <v>0</v>
      </c>
      <c r="H6">
        <v>1</v>
      </c>
      <c r="I6">
        <v>0</v>
      </c>
      <c r="J6">
        <f t="shared" si="0"/>
        <v>50</v>
      </c>
      <c r="K6">
        <f t="shared" si="3"/>
        <v>5</v>
      </c>
      <c r="L6">
        <v>0</v>
      </c>
      <c r="M6">
        <v>0</v>
      </c>
      <c r="N6">
        <f t="shared" si="4"/>
        <v>50</v>
      </c>
      <c r="O6">
        <f t="shared" si="5"/>
        <v>70</v>
      </c>
      <c r="P6">
        <f t="shared" si="6"/>
        <v>6</v>
      </c>
      <c r="Q6">
        <v>0</v>
      </c>
      <c r="R6">
        <v>6</v>
      </c>
    </row>
    <row r="7" spans="1:27" x14ac:dyDescent="0.25">
      <c r="A7">
        <v>6</v>
      </c>
      <c r="B7">
        <v>1</v>
      </c>
      <c r="C7">
        <v>0</v>
      </c>
      <c r="D7">
        <v>0</v>
      </c>
      <c r="E7">
        <f t="shared" si="1"/>
        <v>2</v>
      </c>
      <c r="F7">
        <f t="shared" si="2"/>
        <v>0</v>
      </c>
      <c r="G7">
        <v>0</v>
      </c>
      <c r="H7">
        <v>1</v>
      </c>
      <c r="I7">
        <v>0</v>
      </c>
      <c r="J7">
        <f t="shared" si="0"/>
        <v>50</v>
      </c>
      <c r="K7">
        <f t="shared" si="3"/>
        <v>6</v>
      </c>
      <c r="L7">
        <v>0</v>
      </c>
      <c r="M7">
        <v>0</v>
      </c>
      <c r="N7">
        <f t="shared" si="4"/>
        <v>70</v>
      </c>
      <c r="O7">
        <f t="shared" si="5"/>
        <v>90</v>
      </c>
      <c r="P7">
        <f t="shared" si="6"/>
        <v>4</v>
      </c>
      <c r="Q7">
        <v>2</v>
      </c>
    </row>
    <row r="8" spans="1:27" x14ac:dyDescent="0.25">
      <c r="A8">
        <v>7</v>
      </c>
      <c r="B8">
        <v>1</v>
      </c>
      <c r="C8">
        <v>0</v>
      </c>
      <c r="D8">
        <v>0</v>
      </c>
      <c r="E8">
        <f t="shared" si="1"/>
        <v>2</v>
      </c>
      <c r="F8">
        <f t="shared" si="2"/>
        <v>0</v>
      </c>
      <c r="G8">
        <v>0</v>
      </c>
      <c r="H8">
        <v>0</v>
      </c>
      <c r="I8">
        <v>1</v>
      </c>
      <c r="J8">
        <f t="shared" si="0"/>
        <v>0</v>
      </c>
      <c r="K8">
        <f t="shared" si="3"/>
        <v>5</v>
      </c>
      <c r="L8">
        <v>0</v>
      </c>
      <c r="M8">
        <v>0</v>
      </c>
      <c r="N8">
        <f t="shared" si="4"/>
        <v>70</v>
      </c>
      <c r="O8">
        <f t="shared" si="5"/>
        <v>160</v>
      </c>
      <c r="P8">
        <f t="shared" si="6"/>
        <v>2</v>
      </c>
      <c r="Q8">
        <v>2</v>
      </c>
    </row>
    <row r="9" spans="1:27" s="1" customFormat="1" x14ac:dyDescent="0.25">
      <c r="A9" s="1">
        <v>8</v>
      </c>
      <c r="B9" s="1">
        <v>1</v>
      </c>
      <c r="C9" s="1">
        <v>1</v>
      </c>
      <c r="D9" s="1">
        <v>0</v>
      </c>
      <c r="E9" s="1">
        <f t="shared" si="1"/>
        <v>2</v>
      </c>
      <c r="F9" s="1">
        <f t="shared" si="2"/>
        <v>1</v>
      </c>
      <c r="G9" s="1">
        <v>1</v>
      </c>
      <c r="H9" s="1">
        <v>0</v>
      </c>
      <c r="I9" s="1">
        <v>1</v>
      </c>
      <c r="J9" s="1">
        <f t="shared" si="0"/>
        <v>220</v>
      </c>
      <c r="K9" s="1">
        <f t="shared" si="3"/>
        <v>4</v>
      </c>
      <c r="L9" s="1">
        <v>1</v>
      </c>
      <c r="M9" s="1">
        <v>0</v>
      </c>
      <c r="N9" s="1">
        <f t="shared" si="4"/>
        <v>90</v>
      </c>
      <c r="O9" s="1">
        <f t="shared" si="5"/>
        <v>30</v>
      </c>
      <c r="P9" s="1">
        <f t="shared" si="6"/>
        <v>0</v>
      </c>
      <c r="Q9" s="1">
        <v>2</v>
      </c>
    </row>
    <row r="10" spans="1:27" x14ac:dyDescent="0.25">
      <c r="A10">
        <v>9</v>
      </c>
      <c r="B10">
        <v>1</v>
      </c>
      <c r="C10">
        <v>0</v>
      </c>
      <c r="D10">
        <v>0</v>
      </c>
      <c r="E10">
        <f t="shared" si="1"/>
        <v>2</v>
      </c>
      <c r="F10">
        <f t="shared" si="2"/>
        <v>1</v>
      </c>
      <c r="G10">
        <v>0</v>
      </c>
      <c r="H10">
        <v>1</v>
      </c>
      <c r="I10">
        <v>0</v>
      </c>
      <c r="J10">
        <f t="shared" si="0"/>
        <v>70</v>
      </c>
      <c r="K10">
        <f t="shared" si="3"/>
        <v>5</v>
      </c>
      <c r="L10">
        <v>1</v>
      </c>
      <c r="M10">
        <v>0</v>
      </c>
      <c r="N10">
        <f t="shared" si="4"/>
        <v>70</v>
      </c>
      <c r="O10">
        <f t="shared" si="5"/>
        <v>30</v>
      </c>
      <c r="P10">
        <f t="shared" si="6"/>
        <v>10</v>
      </c>
      <c r="Q10">
        <v>0</v>
      </c>
      <c r="R10">
        <v>10</v>
      </c>
    </row>
    <row r="11" spans="1:27" x14ac:dyDescent="0.25">
      <c r="A11">
        <v>10</v>
      </c>
      <c r="B11">
        <v>1</v>
      </c>
      <c r="C11">
        <v>0</v>
      </c>
      <c r="D11">
        <v>0</v>
      </c>
      <c r="E11">
        <f t="shared" si="1"/>
        <v>2</v>
      </c>
      <c r="F11">
        <f t="shared" si="2"/>
        <v>1</v>
      </c>
      <c r="G11">
        <v>0</v>
      </c>
      <c r="H11">
        <v>1</v>
      </c>
      <c r="I11">
        <v>0</v>
      </c>
      <c r="J11">
        <f t="shared" si="0"/>
        <v>70</v>
      </c>
      <c r="K11">
        <f t="shared" si="3"/>
        <v>6</v>
      </c>
      <c r="L11">
        <v>1</v>
      </c>
      <c r="M11">
        <v>0</v>
      </c>
      <c r="N11">
        <f t="shared" si="4"/>
        <v>90</v>
      </c>
      <c r="O11">
        <f t="shared" si="5"/>
        <v>50</v>
      </c>
      <c r="P11">
        <f t="shared" si="6"/>
        <v>8</v>
      </c>
      <c r="Q11">
        <v>2</v>
      </c>
    </row>
    <row r="12" spans="1:27" x14ac:dyDescent="0.25">
      <c r="A12">
        <v>11</v>
      </c>
      <c r="B12">
        <v>1</v>
      </c>
      <c r="C12">
        <v>0</v>
      </c>
      <c r="D12">
        <v>0</v>
      </c>
      <c r="E12">
        <f t="shared" si="1"/>
        <v>2</v>
      </c>
      <c r="F12">
        <f t="shared" si="2"/>
        <v>1</v>
      </c>
      <c r="G12">
        <v>0</v>
      </c>
      <c r="H12">
        <v>0</v>
      </c>
      <c r="I12">
        <v>1</v>
      </c>
      <c r="J12">
        <f t="shared" si="0"/>
        <v>20</v>
      </c>
      <c r="K12">
        <f t="shared" si="3"/>
        <v>5</v>
      </c>
      <c r="L12">
        <v>1</v>
      </c>
      <c r="M12">
        <v>0</v>
      </c>
      <c r="N12">
        <f t="shared" si="4"/>
        <v>100</v>
      </c>
      <c r="O12">
        <f t="shared" si="5"/>
        <v>130</v>
      </c>
      <c r="P12">
        <f t="shared" si="6"/>
        <v>5</v>
      </c>
      <c r="Q12">
        <v>3</v>
      </c>
    </row>
    <row r="13" spans="1:27" s="1" customFormat="1" x14ac:dyDescent="0.25">
      <c r="A13" s="1">
        <v>12</v>
      </c>
      <c r="B13" s="1">
        <v>1</v>
      </c>
      <c r="C13" s="1">
        <v>1</v>
      </c>
      <c r="D13" s="1">
        <v>0</v>
      </c>
      <c r="E13" s="1">
        <f t="shared" si="1"/>
        <v>2</v>
      </c>
      <c r="F13" s="1">
        <f t="shared" si="2"/>
        <v>2</v>
      </c>
      <c r="G13" s="1">
        <v>1</v>
      </c>
      <c r="H13" s="1">
        <v>0</v>
      </c>
      <c r="I13" s="1">
        <v>1</v>
      </c>
      <c r="J13" s="1">
        <f t="shared" si="0"/>
        <v>220</v>
      </c>
      <c r="K13" s="1">
        <f t="shared" si="3"/>
        <v>4</v>
      </c>
      <c r="L13" s="1">
        <v>1</v>
      </c>
      <c r="M13" s="1">
        <v>0</v>
      </c>
      <c r="N13" s="1">
        <f t="shared" si="4"/>
        <v>120</v>
      </c>
      <c r="O13" s="1">
        <f t="shared" si="5"/>
        <v>30</v>
      </c>
      <c r="P13" s="1">
        <f t="shared" si="6"/>
        <v>2</v>
      </c>
      <c r="Q13" s="1">
        <v>3</v>
      </c>
    </row>
    <row r="14" spans="1:27" x14ac:dyDescent="0.25">
      <c r="A14">
        <v>13</v>
      </c>
      <c r="B14">
        <v>1</v>
      </c>
      <c r="C14">
        <v>0</v>
      </c>
      <c r="D14">
        <v>0</v>
      </c>
      <c r="E14">
        <f t="shared" si="1"/>
        <v>2</v>
      </c>
      <c r="F14">
        <f t="shared" si="2"/>
        <v>2</v>
      </c>
      <c r="G14">
        <v>0</v>
      </c>
      <c r="H14">
        <v>2</v>
      </c>
      <c r="I14">
        <v>0</v>
      </c>
      <c r="J14">
        <f t="shared" si="0"/>
        <v>120</v>
      </c>
      <c r="K14">
        <f t="shared" si="3"/>
        <v>6</v>
      </c>
      <c r="L14">
        <v>1</v>
      </c>
      <c r="M14">
        <v>0</v>
      </c>
      <c r="N14">
        <f t="shared" si="4"/>
        <v>110</v>
      </c>
      <c r="O14">
        <f t="shared" si="5"/>
        <v>20</v>
      </c>
      <c r="P14">
        <f t="shared" si="6"/>
        <v>12</v>
      </c>
      <c r="Q14">
        <v>2</v>
      </c>
      <c r="R14">
        <v>12</v>
      </c>
    </row>
    <row r="15" spans="1:27" x14ac:dyDescent="0.25">
      <c r="A15">
        <v>14</v>
      </c>
      <c r="B15">
        <v>1</v>
      </c>
      <c r="C15">
        <v>0</v>
      </c>
      <c r="D15">
        <v>0</v>
      </c>
      <c r="E15">
        <f t="shared" si="1"/>
        <v>2</v>
      </c>
      <c r="F15">
        <f t="shared" si="2"/>
        <v>2</v>
      </c>
      <c r="G15">
        <v>0</v>
      </c>
      <c r="H15">
        <v>2</v>
      </c>
      <c r="I15">
        <v>0</v>
      </c>
      <c r="J15">
        <f t="shared" si="0"/>
        <v>100</v>
      </c>
      <c r="K15">
        <f t="shared" si="3"/>
        <v>8</v>
      </c>
      <c r="L15">
        <v>0</v>
      </c>
      <c r="M15">
        <v>0</v>
      </c>
      <c r="N15">
        <f t="shared" si="4"/>
        <v>110</v>
      </c>
      <c r="O15">
        <f t="shared" si="5"/>
        <v>30</v>
      </c>
      <c r="P15">
        <f t="shared" si="6"/>
        <v>10</v>
      </c>
      <c r="Q15">
        <v>2</v>
      </c>
    </row>
    <row r="16" spans="1:27" x14ac:dyDescent="0.25">
      <c r="A16">
        <v>15</v>
      </c>
      <c r="B16">
        <v>1</v>
      </c>
      <c r="C16">
        <v>0</v>
      </c>
      <c r="D16">
        <v>0</v>
      </c>
      <c r="E16">
        <f t="shared" si="1"/>
        <v>2</v>
      </c>
      <c r="F16">
        <f t="shared" si="2"/>
        <v>2</v>
      </c>
      <c r="G16">
        <v>0</v>
      </c>
      <c r="H16">
        <v>2</v>
      </c>
      <c r="I16">
        <v>1</v>
      </c>
      <c r="J16">
        <f t="shared" si="0"/>
        <v>100</v>
      </c>
      <c r="K16">
        <f t="shared" si="3"/>
        <v>9</v>
      </c>
      <c r="L16">
        <v>0</v>
      </c>
      <c r="M16">
        <v>0</v>
      </c>
      <c r="N16">
        <f t="shared" si="4"/>
        <v>110</v>
      </c>
      <c r="O16">
        <f t="shared" si="5"/>
        <v>40</v>
      </c>
      <c r="P16">
        <f t="shared" si="6"/>
        <v>8</v>
      </c>
      <c r="Q16">
        <v>2</v>
      </c>
    </row>
    <row r="17" spans="1:21" s="1" customFormat="1" x14ac:dyDescent="0.25">
      <c r="A17" s="1">
        <v>16</v>
      </c>
      <c r="B17" s="1">
        <v>1</v>
      </c>
      <c r="C17" s="1">
        <v>1</v>
      </c>
      <c r="D17" s="1">
        <v>0</v>
      </c>
      <c r="E17" s="1">
        <f t="shared" si="1"/>
        <v>3</v>
      </c>
      <c r="F17" s="1">
        <f>F16+G17-D17</f>
        <v>2</v>
      </c>
      <c r="G17" s="1">
        <v>0</v>
      </c>
      <c r="H17" s="1">
        <v>0</v>
      </c>
      <c r="I17" s="1">
        <v>1</v>
      </c>
      <c r="J17" s="1">
        <f t="shared" si="0"/>
        <v>120</v>
      </c>
      <c r="K17" s="1">
        <f t="shared" si="3"/>
        <v>8</v>
      </c>
      <c r="L17" s="1">
        <v>1</v>
      </c>
      <c r="M17" s="1">
        <v>0</v>
      </c>
      <c r="N17" s="1">
        <f t="shared" si="4"/>
        <v>120</v>
      </c>
      <c r="O17" s="1">
        <f>O16+M17+N17-J17</f>
        <v>40</v>
      </c>
      <c r="P17" s="1">
        <f t="shared" si="6"/>
        <v>6</v>
      </c>
      <c r="Q17" s="1">
        <v>2</v>
      </c>
    </row>
    <row r="18" spans="1:21" x14ac:dyDescent="0.25">
      <c r="A18">
        <v>17</v>
      </c>
      <c r="B18">
        <v>1</v>
      </c>
      <c r="C18">
        <v>0</v>
      </c>
      <c r="D18">
        <v>0</v>
      </c>
      <c r="E18">
        <f t="shared" si="1"/>
        <v>3</v>
      </c>
      <c r="F18">
        <f t="shared" si="2"/>
        <v>2</v>
      </c>
      <c r="G18">
        <v>0</v>
      </c>
      <c r="H18">
        <v>2</v>
      </c>
      <c r="I18">
        <v>0</v>
      </c>
      <c r="J18">
        <f t="shared" si="0"/>
        <v>120</v>
      </c>
      <c r="K18">
        <f t="shared" si="3"/>
        <v>10</v>
      </c>
      <c r="L18">
        <v>1</v>
      </c>
      <c r="M18">
        <v>0</v>
      </c>
      <c r="N18">
        <f t="shared" si="4"/>
        <v>120</v>
      </c>
      <c r="O18">
        <f t="shared" si="5"/>
        <v>40</v>
      </c>
      <c r="P18">
        <f t="shared" si="6"/>
        <v>20</v>
      </c>
      <c r="Q18">
        <v>2</v>
      </c>
      <c r="R18">
        <v>16</v>
      </c>
    </row>
    <row r="19" spans="1:21" x14ac:dyDescent="0.25">
      <c r="A19">
        <v>18</v>
      </c>
      <c r="B19">
        <v>1</v>
      </c>
      <c r="C19">
        <v>0</v>
      </c>
      <c r="D19">
        <v>0</v>
      </c>
      <c r="E19">
        <f t="shared" si="1"/>
        <v>3</v>
      </c>
      <c r="F19">
        <f t="shared" si="2"/>
        <v>2</v>
      </c>
      <c r="G19">
        <v>0</v>
      </c>
      <c r="H19">
        <v>2</v>
      </c>
      <c r="I19">
        <v>0</v>
      </c>
      <c r="J19">
        <f t="shared" si="0"/>
        <v>100</v>
      </c>
      <c r="K19">
        <f t="shared" si="3"/>
        <v>12</v>
      </c>
      <c r="L19">
        <v>0</v>
      </c>
      <c r="M19">
        <v>0</v>
      </c>
      <c r="N19">
        <f t="shared" si="4"/>
        <v>140</v>
      </c>
      <c r="O19">
        <f t="shared" si="5"/>
        <v>80</v>
      </c>
      <c r="P19">
        <f t="shared" si="6"/>
        <v>16</v>
      </c>
      <c r="Q19">
        <v>4</v>
      </c>
    </row>
    <row r="20" spans="1:21" x14ac:dyDescent="0.25">
      <c r="A20">
        <v>19</v>
      </c>
      <c r="B20">
        <v>1</v>
      </c>
      <c r="C20">
        <v>0</v>
      </c>
      <c r="D20">
        <v>0</v>
      </c>
      <c r="E20">
        <f t="shared" si="1"/>
        <v>3</v>
      </c>
      <c r="F20">
        <f t="shared" si="2"/>
        <v>2</v>
      </c>
      <c r="G20">
        <v>0</v>
      </c>
      <c r="H20">
        <v>2</v>
      </c>
      <c r="I20">
        <v>1</v>
      </c>
      <c r="J20">
        <f t="shared" si="0"/>
        <v>100</v>
      </c>
      <c r="K20">
        <f t="shared" si="3"/>
        <v>13</v>
      </c>
      <c r="L20">
        <v>0</v>
      </c>
      <c r="M20">
        <v>0</v>
      </c>
      <c r="N20">
        <f t="shared" si="4"/>
        <v>140</v>
      </c>
      <c r="O20">
        <f t="shared" si="5"/>
        <v>120</v>
      </c>
      <c r="P20">
        <f t="shared" si="6"/>
        <v>12</v>
      </c>
      <c r="Q20">
        <v>4</v>
      </c>
    </row>
    <row r="21" spans="1:21" s="1" customFormat="1" x14ac:dyDescent="0.25">
      <c r="A21" s="1">
        <v>20</v>
      </c>
      <c r="B21" s="1">
        <v>1</v>
      </c>
      <c r="C21" s="1">
        <v>1</v>
      </c>
      <c r="D21" s="1">
        <v>1</v>
      </c>
      <c r="E21" s="1">
        <f t="shared" si="1"/>
        <v>3</v>
      </c>
      <c r="F21" s="1">
        <f t="shared" si="2"/>
        <v>2</v>
      </c>
      <c r="G21" s="1">
        <v>1</v>
      </c>
      <c r="H21" s="1">
        <v>0</v>
      </c>
      <c r="I21" s="1">
        <v>1</v>
      </c>
      <c r="J21" s="1">
        <f t="shared" si="0"/>
        <v>220</v>
      </c>
      <c r="K21" s="1">
        <f t="shared" si="3"/>
        <v>12</v>
      </c>
      <c r="L21" s="1">
        <v>1</v>
      </c>
      <c r="M21" s="1">
        <v>0</v>
      </c>
      <c r="N21" s="1">
        <f t="shared" si="4"/>
        <v>140</v>
      </c>
      <c r="O21" s="1">
        <f t="shared" si="5"/>
        <v>40</v>
      </c>
      <c r="P21" s="1">
        <f t="shared" si="6"/>
        <v>8</v>
      </c>
      <c r="Q21" s="1">
        <v>4</v>
      </c>
    </row>
    <row r="22" spans="1:21" x14ac:dyDescent="0.25">
      <c r="A22">
        <v>21</v>
      </c>
      <c r="B22">
        <v>1</v>
      </c>
      <c r="C22" s="2">
        <v>0</v>
      </c>
      <c r="D22" s="2">
        <v>0</v>
      </c>
      <c r="E22">
        <f t="shared" si="1"/>
        <v>3</v>
      </c>
      <c r="F22">
        <f t="shared" si="2"/>
        <v>2</v>
      </c>
      <c r="G22">
        <v>0</v>
      </c>
      <c r="H22">
        <v>2</v>
      </c>
      <c r="I22">
        <v>0</v>
      </c>
      <c r="J22">
        <f t="shared" si="0"/>
        <v>100</v>
      </c>
      <c r="K22">
        <f t="shared" si="3"/>
        <v>14</v>
      </c>
      <c r="L22" s="2">
        <v>0</v>
      </c>
      <c r="M22" s="2">
        <v>0</v>
      </c>
      <c r="N22">
        <f t="shared" si="4"/>
        <v>120</v>
      </c>
      <c r="O22">
        <f t="shared" si="5"/>
        <v>60</v>
      </c>
      <c r="P22">
        <f t="shared" si="6"/>
        <v>26</v>
      </c>
      <c r="Q22" s="2">
        <v>2</v>
      </c>
      <c r="R22">
        <v>20</v>
      </c>
    </row>
    <row r="23" spans="1:21" x14ac:dyDescent="0.25">
      <c r="A23">
        <v>22</v>
      </c>
      <c r="B23">
        <v>1</v>
      </c>
      <c r="C23" s="2">
        <v>0</v>
      </c>
      <c r="D23" s="2">
        <v>0</v>
      </c>
      <c r="E23">
        <f t="shared" si="1"/>
        <v>3</v>
      </c>
      <c r="F23">
        <f t="shared" si="2"/>
        <v>2</v>
      </c>
      <c r="G23">
        <v>0</v>
      </c>
      <c r="H23">
        <v>2</v>
      </c>
      <c r="I23">
        <v>0</v>
      </c>
      <c r="J23">
        <f t="shared" si="0"/>
        <v>100</v>
      </c>
      <c r="K23">
        <f t="shared" si="3"/>
        <v>16</v>
      </c>
      <c r="L23" s="2">
        <v>0</v>
      </c>
      <c r="M23" s="2">
        <v>0</v>
      </c>
      <c r="N23">
        <f t="shared" si="4"/>
        <v>140</v>
      </c>
      <c r="O23">
        <f t="shared" si="5"/>
        <v>100</v>
      </c>
      <c r="P23">
        <f t="shared" si="6"/>
        <v>22</v>
      </c>
      <c r="Q23" s="2">
        <v>4</v>
      </c>
    </row>
    <row r="24" spans="1:21" x14ac:dyDescent="0.25">
      <c r="A24">
        <v>23</v>
      </c>
      <c r="B24">
        <v>1</v>
      </c>
      <c r="C24" s="2">
        <v>0</v>
      </c>
      <c r="D24" s="2">
        <v>0</v>
      </c>
      <c r="E24">
        <f t="shared" si="1"/>
        <v>3</v>
      </c>
      <c r="F24">
        <f t="shared" si="2"/>
        <v>2</v>
      </c>
      <c r="G24">
        <v>0</v>
      </c>
      <c r="H24">
        <v>2</v>
      </c>
      <c r="I24">
        <v>1</v>
      </c>
      <c r="J24">
        <f t="shared" si="0"/>
        <v>100</v>
      </c>
      <c r="K24">
        <f t="shared" si="3"/>
        <v>17</v>
      </c>
      <c r="L24" s="2">
        <v>0</v>
      </c>
      <c r="M24" s="2">
        <v>0</v>
      </c>
      <c r="N24">
        <f t="shared" si="4"/>
        <v>140</v>
      </c>
      <c r="O24">
        <f t="shared" si="5"/>
        <v>140</v>
      </c>
      <c r="P24">
        <f t="shared" si="6"/>
        <v>18</v>
      </c>
      <c r="Q24" s="2">
        <v>4</v>
      </c>
    </row>
    <row r="25" spans="1:21" x14ac:dyDescent="0.25">
      <c r="A25" s="1">
        <v>24</v>
      </c>
      <c r="B25" s="1">
        <v>1</v>
      </c>
      <c r="C25" s="3">
        <v>0</v>
      </c>
      <c r="D25" s="3">
        <v>0</v>
      </c>
      <c r="E25" s="1">
        <f t="shared" si="1"/>
        <v>3</v>
      </c>
      <c r="F25" s="1">
        <f t="shared" si="2"/>
        <v>2</v>
      </c>
      <c r="G25" s="1">
        <v>0</v>
      </c>
      <c r="H25" s="1">
        <v>2</v>
      </c>
      <c r="I25" s="1">
        <v>1</v>
      </c>
      <c r="J25" s="1">
        <f t="shared" si="0"/>
        <v>100</v>
      </c>
      <c r="K25" s="1">
        <f t="shared" si="3"/>
        <v>18</v>
      </c>
      <c r="L25" s="3">
        <v>0</v>
      </c>
      <c r="M25" s="3">
        <v>0</v>
      </c>
      <c r="N25" s="1">
        <f t="shared" si="4"/>
        <v>140</v>
      </c>
      <c r="O25" s="1">
        <f t="shared" si="5"/>
        <v>180</v>
      </c>
      <c r="P25" s="1">
        <f t="shared" si="6"/>
        <v>14</v>
      </c>
      <c r="Q25" s="3">
        <v>4</v>
      </c>
      <c r="R25" s="1"/>
      <c r="S25" s="1"/>
      <c r="T25" s="1"/>
      <c r="U25" s="1"/>
    </row>
  </sheetData>
  <conditionalFormatting sqref="A1:XFD1048576">
    <cfRule type="cellIs" dxfId="0" priority="3" operator="lessThan">
      <formula>0</formula>
    </cfRule>
  </conditionalFormatting>
  <conditionalFormatting sqref="H2:H50">
    <cfRule type="cellIs" dxfId="2" priority="2" operator="greaterThan">
      <formula>B2+E2+F2</formula>
    </cfRule>
  </conditionalFormatting>
  <conditionalFormatting sqref="I22:I25">
    <cfRule type="cellIs" dxfId="1" priority="1" operator="greaterThan">
      <formula>C22+F22+G22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511F4-B4ED-4710-A02E-4F66863D1EF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Game Progression</vt:lpstr>
      <vt:lpstr>Unit Progression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Yitzchak Cohen</dc:creator>
  <cp:lastModifiedBy>Yitzchak Cohen</cp:lastModifiedBy>
  <dcterms:created xsi:type="dcterms:W3CDTF">2015-06-05T18:17:20Z</dcterms:created>
  <dcterms:modified xsi:type="dcterms:W3CDTF">2024-07-15T18:52:32Z</dcterms:modified>
</cp:coreProperties>
</file>